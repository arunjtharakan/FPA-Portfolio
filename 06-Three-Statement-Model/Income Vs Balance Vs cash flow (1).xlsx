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_Statement" sheetId="1" r:id="rId5"/>
    <sheet state="visible" name="Balance_Sheet" sheetId="2" r:id="rId6"/>
    <sheet state="visible" name="Cash_Flow" sheetId="3" r:id="rId7"/>
  </sheets>
  <definedNames/>
  <calcPr/>
</workbook>
</file>

<file path=xl/sharedStrings.xml><?xml version="1.0" encoding="utf-8"?>
<sst xmlns="http://schemas.openxmlformats.org/spreadsheetml/2006/main" count="62" uniqueCount="62">
  <si>
    <t>3 - Statement Model</t>
  </si>
  <si>
    <t>BASE</t>
  </si>
  <si>
    <t>BULL (+10%)</t>
  </si>
  <si>
    <t>BEAR (-10%)</t>
  </si>
  <si>
    <t>Revenue</t>
  </si>
  <si>
    <t>COGS</t>
  </si>
  <si>
    <t>Gross Profit</t>
  </si>
  <si>
    <t>Op Exp</t>
  </si>
  <si>
    <t>Salaries</t>
  </si>
  <si>
    <t>Rent</t>
  </si>
  <si>
    <t>Utilities</t>
  </si>
  <si>
    <t>Other Opex</t>
  </si>
  <si>
    <t>Total Opex</t>
  </si>
  <si>
    <t>EBIT</t>
  </si>
  <si>
    <t>Interest</t>
  </si>
  <si>
    <t>Pre tax Income</t>
  </si>
  <si>
    <t>Tax</t>
  </si>
  <si>
    <t>Net Income</t>
  </si>
  <si>
    <t>Sensitivity Table — Net Income by Revenue Growth × COGS %</t>
  </si>
  <si>
    <t>COGS % ↓ / Rev Growth →</t>
  </si>
  <si>
    <t>Assets</t>
  </si>
  <si>
    <t>Current Assets</t>
  </si>
  <si>
    <t>Cash</t>
  </si>
  <si>
    <t>Accounts Recievable</t>
  </si>
  <si>
    <t>Inventory</t>
  </si>
  <si>
    <t>Total Current Assets</t>
  </si>
  <si>
    <t>Fixed Asssets</t>
  </si>
  <si>
    <t>PPE</t>
  </si>
  <si>
    <t>Depreciation</t>
  </si>
  <si>
    <t>Net PPE</t>
  </si>
  <si>
    <t>Total Assets</t>
  </si>
  <si>
    <t xml:space="preserve">LIABILITIES </t>
  </si>
  <si>
    <t>Current Liabilities</t>
  </si>
  <si>
    <t>Accounts Payable</t>
  </si>
  <si>
    <t>Short term debt</t>
  </si>
  <si>
    <t>TOTAL</t>
  </si>
  <si>
    <t>Long-term Debt</t>
  </si>
  <si>
    <t>TOTAL LIABILITIES</t>
  </si>
  <si>
    <t>EQUITY</t>
  </si>
  <si>
    <t>Common Stock</t>
  </si>
  <si>
    <t>Retained Earnings</t>
  </si>
  <si>
    <t>TOTAL EQUITY</t>
  </si>
  <si>
    <t>TOTAL LIABILITIES + EQUITY</t>
  </si>
  <si>
    <t>CASH FLOW STATEMENT</t>
  </si>
  <si>
    <t>OPERATING ACTIVITIES</t>
  </si>
  <si>
    <t xml:space="preserve">Net Income                           </t>
  </si>
  <si>
    <t xml:space="preserve">Add: Depreciation                     </t>
  </si>
  <si>
    <t>Changes in Working Capital:</t>
  </si>
  <si>
    <t xml:space="preserve">Decrease in AR                      </t>
  </si>
  <si>
    <t xml:space="preserve">Increase in Inventory              </t>
  </si>
  <si>
    <t xml:space="preserve">Increase in AP                       </t>
  </si>
  <si>
    <t xml:space="preserve">Net Cash from Operations             </t>
  </si>
  <si>
    <t>INVESTING ACTIVITIES</t>
  </si>
  <si>
    <t xml:space="preserve">PPE Purchase                        </t>
  </si>
  <si>
    <t xml:space="preserve">Net Cash from Investing            </t>
  </si>
  <si>
    <t>FINANCING ACTIVITIES</t>
  </si>
  <si>
    <t xml:space="preserve">Debt Repayment                        </t>
  </si>
  <si>
    <t xml:space="preserve">Dividend Payment                     </t>
  </si>
  <si>
    <t xml:space="preserve">Net Cash from Financing              </t>
  </si>
  <si>
    <t xml:space="preserve">NET CHANGE IN CASH                </t>
  </si>
  <si>
    <t xml:space="preserve">Beginning Cash                     </t>
  </si>
  <si>
    <t xml:space="preserve">Ending Cash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</si>
</sst>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"/>
  </numFmts>
  <fonts count="8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1" fillId="0" fontId="3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4" numFmtId="164" xfId="0" applyFont="1" applyNumberFormat="1"/>
    <xf borderId="0" fillId="0" fontId="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6" numFmtId="9" xfId="0" applyAlignment="1" applyBorder="1" applyFont="1" applyNumberFormat="1">
      <alignment readingOrder="0"/>
    </xf>
    <xf borderId="0" fillId="0" fontId="6" numFmtId="164" xfId="0" applyFont="1" applyNumberFormat="1"/>
    <xf borderId="1" fillId="2" fontId="7" numFmtId="164" xfId="0" applyAlignment="1" applyBorder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4" t="s">
        <v>1</v>
      </c>
      <c r="C3" s="4" t="s">
        <v>2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4</v>
      </c>
      <c r="B4" s="6">
        <v>8680000.0</v>
      </c>
      <c r="C4" s="6">
        <v>9548000.0</v>
      </c>
      <c r="D4" s="6">
        <v>7812000.0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</v>
      </c>
      <c r="B5" s="7">
        <f>B4*30%</f>
        <v>2604000</v>
      </c>
      <c r="C5" s="6">
        <v>2577960.0</v>
      </c>
      <c r="D5" s="6">
        <v>2577960.0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6</v>
      </c>
      <c r="B6" s="7">
        <f t="shared" ref="B6:D6" si="1">B4-B5</f>
        <v>6076000</v>
      </c>
      <c r="C6" s="7">
        <f t="shared" si="1"/>
        <v>6970040</v>
      </c>
      <c r="D6" s="7">
        <f t="shared" si="1"/>
        <v>5234040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8</v>
      </c>
      <c r="B9" s="6">
        <v>1200000.0</v>
      </c>
      <c r="C9" s="6">
        <v>1200000.0</v>
      </c>
      <c r="D9" s="6">
        <v>1200000.0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9</v>
      </c>
      <c r="B10" s="6">
        <v>600000.0</v>
      </c>
      <c r="C10" s="6">
        <v>600000.0</v>
      </c>
      <c r="D10" s="6">
        <v>600000.0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10</v>
      </c>
      <c r="B11" s="6">
        <v>200000.0</v>
      </c>
      <c r="C11" s="6">
        <v>200000.0</v>
      </c>
      <c r="D11" s="6">
        <v>200000.0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11</v>
      </c>
      <c r="B12" s="6">
        <v>400000.0</v>
      </c>
      <c r="C12" s="6">
        <v>400000.0</v>
      </c>
      <c r="D12" s="6">
        <v>400000.0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12</v>
      </c>
      <c r="B13" s="7">
        <f t="shared" ref="B13:D13" si="2">SUM(B9:B12)</f>
        <v>2400000</v>
      </c>
      <c r="C13" s="7">
        <f t="shared" si="2"/>
        <v>2400000</v>
      </c>
      <c r="D13" s="7">
        <f t="shared" si="2"/>
        <v>2400000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13</v>
      </c>
      <c r="B15" s="7">
        <f t="shared" ref="B15:D15" si="3">B6-B13</f>
        <v>3676000</v>
      </c>
      <c r="C15" s="7">
        <f t="shared" si="3"/>
        <v>4570040</v>
      </c>
      <c r="D15" s="7">
        <f t="shared" si="3"/>
        <v>2834040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14</v>
      </c>
      <c r="B16" s="6">
        <v>150000.0</v>
      </c>
      <c r="C16" s="6">
        <v>150000.0</v>
      </c>
      <c r="D16" s="6">
        <v>150000.0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15</v>
      </c>
      <c r="B17" s="6">
        <v>3526000.0</v>
      </c>
      <c r="C17" s="6">
        <v>4420040.0</v>
      </c>
      <c r="D17" s="6">
        <v>2684040.0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16</v>
      </c>
      <c r="B18" s="6">
        <v>881000.0</v>
      </c>
      <c r="C18" s="7">
        <f t="shared" ref="C18:D18" si="4">25%*C17</f>
        <v>1105010</v>
      </c>
      <c r="D18" s="7">
        <f t="shared" si="4"/>
        <v>671010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17</v>
      </c>
      <c r="B20" s="7">
        <f t="shared" ref="B20:D20" si="5">B15-B16-B18</f>
        <v>2645000</v>
      </c>
      <c r="C20" s="7">
        <f t="shared" si="5"/>
        <v>3315030</v>
      </c>
      <c r="D20" s="7">
        <f t="shared" si="5"/>
        <v>2013030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19</v>
      </c>
      <c r="B25" s="12">
        <v>-0.15</v>
      </c>
      <c r="C25" s="12">
        <v>-0.1</v>
      </c>
      <c r="D25" s="12">
        <v>-0.05</v>
      </c>
      <c r="E25" s="12">
        <v>0.0</v>
      </c>
      <c r="F25" s="12">
        <v>0.05</v>
      </c>
      <c r="G25" s="12">
        <v>0.1</v>
      </c>
      <c r="H25" s="12">
        <v>0.15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2">
        <v>0.25</v>
      </c>
      <c r="B26" s="6">
        <f t="shared" ref="B26:H26" si="6">($B$4*(1+B$25) - $B$4*(1+B$25)*$A26 - $B$13 - $B$16) * (1-0.25)</f>
        <v>2237625</v>
      </c>
      <c r="C26" s="6">
        <f t="shared" si="6"/>
        <v>2481750</v>
      </c>
      <c r="D26" s="6">
        <f t="shared" si="6"/>
        <v>2725875</v>
      </c>
      <c r="E26" s="6">
        <f t="shared" si="6"/>
        <v>2970000</v>
      </c>
      <c r="F26" s="6">
        <f t="shared" si="6"/>
        <v>3214125</v>
      </c>
      <c r="G26" s="6">
        <f t="shared" si="6"/>
        <v>3458250</v>
      </c>
      <c r="H26" s="6">
        <f t="shared" si="6"/>
        <v>3702375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>
        <v>0.27</v>
      </c>
      <c r="B27" s="6">
        <f t="shared" ref="B27:H27" si="7">($B$4*(1+B$25) - $B$4*(1+B$25)*$A27 - $B$13 - $B$16) * (1-0.25)</f>
        <v>2126955</v>
      </c>
      <c r="C27" s="6">
        <f t="shared" si="7"/>
        <v>2364570</v>
      </c>
      <c r="D27" s="6">
        <f t="shared" si="7"/>
        <v>2602185</v>
      </c>
      <c r="E27" s="6">
        <f t="shared" si="7"/>
        <v>2839800</v>
      </c>
      <c r="F27" s="6">
        <f t="shared" si="7"/>
        <v>3077415</v>
      </c>
      <c r="G27" s="6">
        <f t="shared" si="7"/>
        <v>3315030</v>
      </c>
      <c r="H27" s="6">
        <f t="shared" si="7"/>
        <v>3552645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>
        <v>0.29</v>
      </c>
      <c r="B28" s="6">
        <f t="shared" ref="B28:H28" si="8">($B$4*(1+B$25) - $B$4*(1+B$25)*$A28 - $B$13 - $B$16) * (1-0.25)</f>
        <v>2016285</v>
      </c>
      <c r="C28" s="6">
        <f t="shared" si="8"/>
        <v>2247390</v>
      </c>
      <c r="D28" s="6">
        <f t="shared" si="8"/>
        <v>2478495</v>
      </c>
      <c r="E28" s="6">
        <f t="shared" si="8"/>
        <v>2709600</v>
      </c>
      <c r="F28" s="6">
        <f t="shared" si="8"/>
        <v>2940705</v>
      </c>
      <c r="G28" s="6">
        <f t="shared" si="8"/>
        <v>3171810</v>
      </c>
      <c r="H28" s="6">
        <f t="shared" si="8"/>
        <v>3402915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>
        <v>0.3</v>
      </c>
      <c r="B29" s="6">
        <f t="shared" ref="B29:H29" si="9">($B$4*(1+B$25) - $B$4*(1+B$25)*$A29 - $B$13 - $B$16) * (1-0.25)</f>
        <v>1960950</v>
      </c>
      <c r="C29" s="6">
        <f t="shared" si="9"/>
        <v>2188800</v>
      </c>
      <c r="D29" s="6">
        <f t="shared" si="9"/>
        <v>2416650</v>
      </c>
      <c r="E29" s="14">
        <f t="shared" si="9"/>
        <v>2644500</v>
      </c>
      <c r="F29" s="6">
        <f t="shared" si="9"/>
        <v>2872350</v>
      </c>
      <c r="G29" s="6">
        <f t="shared" si="9"/>
        <v>3100200</v>
      </c>
      <c r="H29" s="6">
        <f t="shared" si="9"/>
        <v>3328050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>
        <v>0.31</v>
      </c>
      <c r="B30" s="6">
        <f t="shared" ref="B30:H30" si="10">($B$4*(1+B$25) - $B$4*(1+B$25)*$A30 - $B$13 - $B$16) * (1-0.25)</f>
        <v>1905615</v>
      </c>
      <c r="C30" s="6">
        <f t="shared" si="10"/>
        <v>2130210</v>
      </c>
      <c r="D30" s="6">
        <f t="shared" si="10"/>
        <v>2354805</v>
      </c>
      <c r="E30" s="6">
        <f t="shared" si="10"/>
        <v>2579400</v>
      </c>
      <c r="F30" s="6">
        <f t="shared" si="10"/>
        <v>2803995</v>
      </c>
      <c r="G30" s="6">
        <f t="shared" si="10"/>
        <v>3028590</v>
      </c>
      <c r="H30" s="6">
        <f t="shared" si="10"/>
        <v>3253185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>
        <v>0.33</v>
      </c>
      <c r="B31" s="6">
        <f t="shared" ref="B31:H31" si="11">($B$4*(1+B$25) - $B$4*(1+B$25)*$A31 - $B$13 - $B$16) * (1-0.25)</f>
        <v>1794945</v>
      </c>
      <c r="C31" s="6">
        <f t="shared" si="11"/>
        <v>2013030</v>
      </c>
      <c r="D31" s="6">
        <f t="shared" si="11"/>
        <v>2231115</v>
      </c>
      <c r="E31" s="6">
        <f t="shared" si="11"/>
        <v>2449200</v>
      </c>
      <c r="F31" s="6">
        <f t="shared" si="11"/>
        <v>2667285</v>
      </c>
      <c r="G31" s="6">
        <f t="shared" si="11"/>
        <v>2885370</v>
      </c>
      <c r="H31" s="6">
        <f t="shared" si="11"/>
        <v>3103455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>
        <v>0.35</v>
      </c>
      <c r="B32" s="6">
        <f t="shared" ref="B32:H32" si="12">($B$4*(1+B$25) - $B$4*(1+B$25)*$A32 - $B$13 - $B$16) * (1-0.25)</f>
        <v>1684275</v>
      </c>
      <c r="C32" s="6">
        <f t="shared" si="12"/>
        <v>1895850</v>
      </c>
      <c r="D32" s="6">
        <f t="shared" si="12"/>
        <v>2107425</v>
      </c>
      <c r="E32" s="6">
        <f t="shared" si="12"/>
        <v>2319000</v>
      </c>
      <c r="F32" s="6">
        <f t="shared" si="12"/>
        <v>2530575</v>
      </c>
      <c r="G32" s="6">
        <f t="shared" si="12"/>
        <v>2742150</v>
      </c>
      <c r="H32" s="6">
        <f t="shared" si="12"/>
        <v>2953725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 t="s">
        <v>21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 t="s">
        <v>22</v>
      </c>
      <c r="B4" s="15">
        <f>Cash_Flow!B23</f>
        <v>2795000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5" t="s">
        <v>23</v>
      </c>
      <c r="B5" s="15">
        <v>2000000.0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5" t="s">
        <v>24</v>
      </c>
      <c r="B6" s="15">
        <v>1500000.0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5" t="s">
        <v>25</v>
      </c>
      <c r="B7" s="16">
        <f>4700000</f>
        <v>4700000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5" t="s">
        <v>26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5" t="s">
        <v>27</v>
      </c>
      <c r="B10" s="15">
        <v>5000000.0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5" t="s">
        <v>28</v>
      </c>
      <c r="B11" s="15">
        <v>-500000.0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5" t="s">
        <v>29</v>
      </c>
      <c r="B12" s="15">
        <v>4500000.0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5" t="s">
        <v>30</v>
      </c>
      <c r="B14" s="15">
        <v>9000000.0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5" t="s">
        <v>31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5" t="s">
        <v>32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5" t="s">
        <v>33</v>
      </c>
      <c r="B18" s="15">
        <v>1200000.0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5" t="s">
        <v>34</v>
      </c>
      <c r="B19" s="15">
        <v>500000.0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5" t="s">
        <v>35</v>
      </c>
      <c r="B20" s="15">
        <v>1700000.0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5" t="s">
        <v>36</v>
      </c>
      <c r="B22" s="15">
        <v>2000000.0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5" t="s">
        <v>37</v>
      </c>
      <c r="B24" s="15">
        <v>3700000.0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5" t="s">
        <v>38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5" t="s">
        <v>39</v>
      </c>
      <c r="B27" s="15">
        <f>B14-B24-B28</f>
        <v>2655000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5" t="s">
        <v>40</v>
      </c>
      <c r="B28" s="15">
        <f>Income_Statement!B20</f>
        <v>2645000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5" t="s">
        <v>41</v>
      </c>
      <c r="B30" s="15">
        <f>SUM(B27:B28)</f>
        <v>5300000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5" t="s">
        <v>42</v>
      </c>
      <c r="B32" s="15">
        <f>SUM(B24+B30)</f>
        <v>9000000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7" t="s">
        <v>43</v>
      </c>
    </row>
    <row r="3">
      <c r="A3" s="17" t="s">
        <v>44</v>
      </c>
    </row>
    <row r="4">
      <c r="A4" s="17" t="s">
        <v>45</v>
      </c>
      <c r="B4" s="18">
        <f>Income_Statement!B20</f>
        <v>2645000</v>
      </c>
    </row>
    <row r="5">
      <c r="A5" s="17" t="s">
        <v>46</v>
      </c>
      <c r="B5" s="18">
        <f>Balance_Sheet!B11</f>
        <v>-500000</v>
      </c>
    </row>
    <row r="6">
      <c r="A6" s="17" t="s">
        <v>47</v>
      </c>
    </row>
    <row r="7">
      <c r="A7" s="17" t="s">
        <v>48</v>
      </c>
      <c r="B7" s="18">
        <v>200000.0</v>
      </c>
    </row>
    <row r="8">
      <c r="A8" s="17" t="s">
        <v>49</v>
      </c>
      <c r="B8" s="18">
        <v>-100000.0</v>
      </c>
    </row>
    <row r="9">
      <c r="A9" s="17" t="s">
        <v>50</v>
      </c>
      <c r="B9" s="18">
        <v>150000.0</v>
      </c>
    </row>
    <row r="10">
      <c r="A10" s="17" t="s">
        <v>51</v>
      </c>
      <c r="B10" s="18">
        <v>3395000.0</v>
      </c>
    </row>
    <row r="12">
      <c r="A12" s="17" t="s">
        <v>52</v>
      </c>
    </row>
    <row r="13">
      <c r="A13" s="17" t="s">
        <v>53</v>
      </c>
      <c r="B13" s="18">
        <v>-1000000.0</v>
      </c>
    </row>
    <row r="14">
      <c r="A14" s="17" t="s">
        <v>54</v>
      </c>
      <c r="B14" s="18">
        <v>-1000000.0</v>
      </c>
    </row>
    <row r="16">
      <c r="A16" s="17" t="s">
        <v>55</v>
      </c>
    </row>
    <row r="17">
      <c r="A17" s="17" t="s">
        <v>56</v>
      </c>
      <c r="B17" s="18">
        <v>-500000.0</v>
      </c>
    </row>
    <row r="18">
      <c r="A18" s="17" t="s">
        <v>57</v>
      </c>
      <c r="B18" s="18">
        <v>-300000.0</v>
      </c>
    </row>
    <row r="19">
      <c r="A19" s="17" t="s">
        <v>58</v>
      </c>
      <c r="B19" s="18">
        <v>-800000.0</v>
      </c>
    </row>
    <row r="21">
      <c r="A21" s="17" t="s">
        <v>59</v>
      </c>
      <c r="B21" s="18">
        <v>1595000.0</v>
      </c>
    </row>
    <row r="22">
      <c r="A22" s="17" t="s">
        <v>60</v>
      </c>
      <c r="B22" s="18">
        <v>1200000.0</v>
      </c>
    </row>
    <row r="23">
      <c r="A23" s="17" t="s">
        <v>61</v>
      </c>
      <c r="B23" s="18">
        <f>SUM(B21:B22)</f>
        <v>2795000</v>
      </c>
    </row>
  </sheetData>
  <drawing r:id="rId1"/>
</worksheet>
</file>