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9">
      <text>
        <t xml:space="preserve">I built a simple accretion/dilution model for Boston Scientific's $14.5B acquisition of Penumbra. My GAAP-based model showed $0.23 of Year 1 dilution. Management guided $0.06-0.08 of ADJUSTED EPS dilution. The gap reflects what a real M&amp;A model would layer in: cost synergies, target growth assumptions, and the gap between GAAP and Adjusted EPS — primarily intangible amortization. The directional conclusion is the same: dilutive in Year 1, accretive in Year 3+ as synergies and integration realize
</t>
      </text>
    </comment>
  </commentList>
</comments>
</file>

<file path=xl/sharedStrings.xml><?xml version="1.0" encoding="utf-8"?>
<sst xmlns="http://schemas.openxmlformats.org/spreadsheetml/2006/main" count="40" uniqueCount="36">
  <si>
    <t>Boston Scientific → Penumbra Acquisition: Accretion/Dilution Model</t>
  </si>
  <si>
    <t>Real deal data — sourced from SEC filings &amp; BSX press release Jan 15, 2026</t>
  </si>
  <si>
    <t>ACQUIRER (Boston Scientific) — 2025 Actuals</t>
  </si>
  <si>
    <t>Column 1</t>
  </si>
  <si>
    <t>NET INCOME</t>
  </si>
  <si>
    <t>DILUTED SHARES</t>
  </si>
  <si>
    <t>STANDALONE EPS</t>
  </si>
  <si>
    <t>SHARE PRICE</t>
  </si>
  <si>
    <t>TARGET (Penumbra) — 2025 Actuals</t>
  </si>
  <si>
    <t>REVENUE</t>
  </si>
  <si>
    <t>OPERATING INCOME</t>
  </si>
  <si>
    <t xml:space="preserve">TAX RATE </t>
  </si>
  <si>
    <t>EST NET INCOME</t>
  </si>
  <si>
    <t xml:space="preserve">DEAL TERMS </t>
  </si>
  <si>
    <t>TOTAL DEAL VALUE</t>
  </si>
  <si>
    <t>% CASH</t>
  </si>
  <si>
    <t>% STOCK</t>
  </si>
  <si>
    <t>CASH USED</t>
  </si>
  <si>
    <t>EQUITY USED</t>
  </si>
  <si>
    <t>NEW SHARES ISSUED</t>
  </si>
  <si>
    <t>AFTER TAX COST OF CASH/DEBT</t>
  </si>
  <si>
    <t>PRO FORMA</t>
  </si>
  <si>
    <t>POST-DEAL</t>
  </si>
  <si>
    <t xml:space="preserve">ACCRETION / (DILUTION) </t>
  </si>
  <si>
    <t>ANALYSIS</t>
  </si>
  <si>
    <t>BSX NET INCOME</t>
  </si>
  <si>
    <t>PENUMBRA NET INCOME</t>
  </si>
  <si>
    <t>PRO FORMA EPS</t>
  </si>
  <si>
    <t>FOREGONE INTEREST ON CASH</t>
  </si>
  <si>
    <t>PRO-FORMA NET INCOME</t>
  </si>
  <si>
    <t>ACCRETION/(DILUTION) - $</t>
  </si>
  <si>
    <t>ACCRETION/(DILUTION) - %</t>
  </si>
  <si>
    <t>BSX DILUTED SHARES</t>
  </si>
  <si>
    <t>PROFORMA DILTED SHARES</t>
  </si>
  <si>
    <t>VERDICT</t>
  </si>
  <si>
    <t>PROFORMA 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</si>
</sst>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b/>
      <i/>
      <sz val="13.0"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4" numFmtId="9" xfId="0" applyAlignment="1" applyFont="1" applyNumberFormat="1">
      <alignment readingOrder="0" shrinkToFit="0" vertical="center" wrapText="0"/>
    </xf>
    <xf borderId="0" fillId="0" fontId="4" numFmtId="10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9" displayName="Table3" name="Table3" id="1">
  <tableColumns count="2">
    <tableColumn name="ACQUIRER (Boston Scientific) — 2025 Actuals" id="1"/>
    <tableColumn name="Column 1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B16" displayName="Table4" name="Table4" id="2">
  <tableColumns count="2">
    <tableColumn name="TARGET (Penumbra) — 2025 Actuals" id="1"/>
    <tableColumn name="Column 1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8:B26" displayName="TABLE_2" name="TABLE_2" id="3">
  <tableColumns count="2">
    <tableColumn name="DEAL TERMS " id="1"/>
    <tableColumn name="Column 1" id="2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28:B39" displayName="Table2" name="Table2" id="4">
  <tableColumns count="2">
    <tableColumn name="PRO FORMA" id="1"/>
    <tableColumn name="POST-DEAL" id="2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F28:G37" displayName="Table1" name="Table1" id="5">
  <tableColumns count="2">
    <tableColumn name="ACCRETION / (DILUTION) " id="1"/>
    <tableColumn name="ANALYSIS" id="2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8.0"/>
    <col customWidth="1" min="6" max="6" width="37.63"/>
    <col customWidth="1" min="7" max="7" width="14.75"/>
  </cols>
  <sheetData>
    <row r="1">
      <c r="A1" s="1" t="s">
        <v>0</v>
      </c>
    </row>
    <row r="2">
      <c r="A2" s="2" t="s">
        <v>1</v>
      </c>
    </row>
    <row r="4" ht="22.5" customHeight="1">
      <c r="A4" s="3" t="s">
        <v>2</v>
      </c>
      <c r="B4" s="4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8" t="s">
        <v>4</v>
      </c>
      <c r="B6" s="8">
        <v>2898.0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8" t="s">
        <v>5</v>
      </c>
      <c r="B7" s="8">
        <v>1494.0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8" t="s">
        <v>6</v>
      </c>
      <c r="B8" s="9">
        <f>B6/B7</f>
        <v>1.939759036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8" t="s">
        <v>7</v>
      </c>
      <c r="B9" s="8">
        <v>96.59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" t="s">
        <v>8</v>
      </c>
      <c r="B11" s="4" t="s">
        <v>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8" t="s">
        <v>9</v>
      </c>
      <c r="B13" s="8">
        <v>1403.7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8" t="s">
        <v>10</v>
      </c>
      <c r="B14" s="8">
        <v>189.2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8" t="s">
        <v>11</v>
      </c>
      <c r="B15" s="10">
        <v>0.25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8" t="s">
        <v>12</v>
      </c>
      <c r="B16" s="6">
        <f>B14*(1-B15)</f>
        <v>141.9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3" t="s">
        <v>13</v>
      </c>
      <c r="B18" s="4" t="s">
        <v>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6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8" t="s">
        <v>14</v>
      </c>
      <c r="B20" s="8">
        <v>14500.0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8" t="s">
        <v>15</v>
      </c>
      <c r="B21" s="10">
        <v>0.73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8" t="s">
        <v>16</v>
      </c>
      <c r="B22" s="10">
        <v>0.27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8" t="s">
        <v>17</v>
      </c>
      <c r="B23" s="6">
        <f>B20*B21</f>
        <v>10585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8" t="s">
        <v>18</v>
      </c>
      <c r="B24" s="6">
        <f>B20*B22</f>
        <v>3915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8" t="s">
        <v>19</v>
      </c>
      <c r="B25" s="9">
        <f>B24/B9</f>
        <v>40.53214618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8" t="s">
        <v>20</v>
      </c>
      <c r="B26" s="11">
        <v>0.04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3" t="s">
        <v>21</v>
      </c>
      <c r="B28" s="4" t="s">
        <v>22</v>
      </c>
      <c r="C28" s="5"/>
      <c r="D28" s="5"/>
      <c r="E28" s="5"/>
      <c r="F28" s="3" t="s">
        <v>23</v>
      </c>
      <c r="G28" s="4" t="s">
        <v>24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6"/>
      <c r="B29" s="9"/>
      <c r="C29" s="7"/>
      <c r="D29" s="7"/>
      <c r="E29" s="7"/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8" t="s">
        <v>25</v>
      </c>
      <c r="B30" s="9">
        <f>B6</f>
        <v>2898</v>
      </c>
      <c r="C30" s="7"/>
      <c r="D30" s="7"/>
      <c r="E30" s="7"/>
      <c r="F30" s="8" t="s">
        <v>6</v>
      </c>
      <c r="G30" s="9">
        <f>B8</f>
        <v>1.939759036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8" t="s">
        <v>26</v>
      </c>
      <c r="B31" s="9">
        <f>B16</f>
        <v>141.9</v>
      </c>
      <c r="C31" s="7"/>
      <c r="D31" s="7"/>
      <c r="E31" s="7"/>
      <c r="F31" s="8" t="s">
        <v>27</v>
      </c>
      <c r="G31" s="9">
        <f>B39</f>
        <v>1.705079953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8" t="s">
        <v>28</v>
      </c>
      <c r="B32" s="9">
        <f>-B23*B26</f>
        <v>-423.4</v>
      </c>
      <c r="C32" s="7"/>
      <c r="D32" s="7"/>
      <c r="E32" s="7"/>
      <c r="F32" s="6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8" t="s">
        <v>29</v>
      </c>
      <c r="B33" s="9">
        <f>SUM(B30+B31+B32)</f>
        <v>2616.5</v>
      </c>
      <c r="C33" s="7"/>
      <c r="D33" s="7"/>
      <c r="E33" s="7"/>
      <c r="F33" s="8" t="s">
        <v>30</v>
      </c>
      <c r="G33" s="9">
        <f>G31-G30</f>
        <v>-0.2346790829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8"/>
      <c r="B34" s="9"/>
      <c r="C34" s="7"/>
      <c r="D34" s="7"/>
      <c r="E34" s="7"/>
      <c r="F34" s="8" t="s">
        <v>31</v>
      </c>
      <c r="G34" s="9">
        <f>G31/G30</f>
        <v>0.8790163734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8" t="s">
        <v>32</v>
      </c>
      <c r="B35" s="9">
        <f>B7</f>
        <v>1494</v>
      </c>
      <c r="C35" s="7"/>
      <c r="D35" s="7"/>
      <c r="E35" s="7"/>
      <c r="F35" s="8"/>
      <c r="G35" s="1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8" t="s">
        <v>19</v>
      </c>
      <c r="B36" s="9">
        <f>B25</f>
        <v>40.53214618</v>
      </c>
      <c r="C36" s="7"/>
      <c r="D36" s="7"/>
      <c r="E36" s="7"/>
      <c r="F36" s="6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8" t="s">
        <v>33</v>
      </c>
      <c r="B37" s="9">
        <f>B35+B36</f>
        <v>1534.532146</v>
      </c>
      <c r="C37" s="7"/>
      <c r="D37" s="7"/>
      <c r="E37" s="7"/>
      <c r="F37" s="13" t="s">
        <v>34</v>
      </c>
      <c r="G37" s="12" t="str">
        <f>IF(G33&gt;0,"ACCRETIVE","DILUTIVE")</f>
        <v>DILUTIVE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8"/>
      <c r="B38" s="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8" t="s">
        <v>35</v>
      </c>
      <c r="B39" s="9">
        <f>B33/B37</f>
        <v>1.705079953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</sheetData>
  <dataValidations>
    <dataValidation type="custom" allowBlank="1" showDropDown="1" sqref="B29:B39">
      <formula1>AND(ISNUMBER(B29),(NOT(OR(NOT(ISERROR(DATEVALUE(B29))), AND(ISNUMBER(B29), LEFT(CELL("format", B29))="D")))))</formula1>
    </dataValidation>
  </dataValidations>
  <drawing r:id="rId2"/>
  <legacyDrawing r:id="rId3"/>
  <tableParts count="5">
    <tablePart r:id="rId9"/>
    <tablePart r:id="rId10"/>
    <tablePart r:id="rId11"/>
    <tablePart r:id="rId12"/>
    <tablePart r:id="rId13"/>
  </tableParts>
</worksheet>
</file>